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mi\Documents\Excel com IA\Criando uma Ferramenta de Controle de Investimentos com Excel - D1\"/>
    </mc:Choice>
  </mc:AlternateContent>
  <xr:revisionPtr revIDLastSave="0" documentId="13_ncr:1_{CC5C40BB-D75A-4486-9D48-72A58D3711C2}" xr6:coauthVersionLast="47" xr6:coauthVersionMax="47" xr10:uidLastSave="{00000000-0000-0000-0000-000000000000}"/>
  <bookViews>
    <workbookView xWindow="-108" yWindow="-108" windowWidth="23256" windowHeight="12456" tabRatio="0" xr2:uid="{96A00549-8D21-4A98-BF14-E0F7E7F73173}"/>
  </bookViews>
  <sheets>
    <sheet name="Planilha1" sheetId="1" r:id="rId1"/>
    <sheet name="Planilha2" sheetId="2" r:id="rId2"/>
  </sheets>
  <definedNames>
    <definedName name="_xlchart.v1.0" hidden="1">Planilha1!$C$32:$C$37</definedName>
    <definedName name="_xlchart.v1.1" hidden="1">Planilha1!$D$32:$D$37</definedName>
    <definedName name="Aport">Planilha1!$D$14</definedName>
    <definedName name="dividendos_mes">Planilha1!$D$18</definedName>
    <definedName name="patrimonio">Planilha1!$D$17</definedName>
    <definedName name="qtd_anos">Planilha1!$D$15</definedName>
    <definedName name="rendi_carteira">Planilha1!$D$10</definedName>
    <definedName name="salario">Planilha1!$D$9</definedName>
    <definedName name="seugestao_invest">Planilha1!$D$11</definedName>
    <definedName name="taxa_mês">Planilha1!$D$16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G6" i="2"/>
  <c r="D11" i="1"/>
  <c r="D32" i="1"/>
  <c r="D33" i="1"/>
  <c r="D34" i="1"/>
  <c r="D35" i="1"/>
  <c r="D36" i="1"/>
  <c r="D37" i="1"/>
  <c r="A20" i="2"/>
  <c r="A21" i="2"/>
  <c r="A22" i="2"/>
  <c r="A23" i="2"/>
  <c r="A24" i="2"/>
  <c r="A19" i="2"/>
  <c r="A13" i="2"/>
  <c r="A14" i="2"/>
  <c r="A15" i="2"/>
  <c r="A16" i="2"/>
  <c r="A17" i="2"/>
  <c r="A12" i="2"/>
  <c r="A6" i="2"/>
  <c r="A5" i="2"/>
  <c r="A10" i="2"/>
  <c r="A7" i="2"/>
  <c r="A8" i="2"/>
  <c r="A9" i="2"/>
  <c r="D17" i="1"/>
  <c r="D18" i="1" s="1"/>
  <c r="D21" i="1"/>
  <c r="E21" i="1" s="1"/>
  <c r="D25" i="1"/>
  <c r="E25" i="1" s="1"/>
  <c r="D22" i="1"/>
  <c r="E22" i="1" s="1"/>
  <c r="D23" i="1"/>
  <c r="E23" i="1" s="1"/>
  <c r="D24" i="1"/>
  <c r="E24" i="1" s="1"/>
  <c r="E32" i="1" l="1"/>
  <c r="E35" i="1"/>
  <c r="E34" i="1"/>
  <c r="E36" i="1"/>
  <c r="E37" i="1"/>
  <c r="E33" i="1"/>
  <c r="E38" i="1" l="1"/>
</calcChain>
</file>

<file path=xl/sharedStrings.xml><?xml version="1.0" encoding="utf-8"?>
<sst xmlns="http://schemas.openxmlformats.org/spreadsheetml/2006/main" count="70" uniqueCount="35">
  <si>
    <t>Quanto investir?</t>
  </si>
  <si>
    <t>Por quantos anos?</t>
  </si>
  <si>
    <t>Taxa de rendimento mensal?</t>
  </si>
  <si>
    <t>Patrimônio acumulado?</t>
  </si>
  <si>
    <t>Dividendos mensais?</t>
  </si>
  <si>
    <t>Investimento Mensal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</si>
  <si>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</si>
  <si>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</si>
  <si>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</si>
  <si>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</si>
  <si>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</si>
  <si>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</si>
  <si>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</si>
  <si>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Configurações</t>
  </si>
  <si>
    <t>Salário</t>
  </si>
  <si>
    <t>Rendimento Carteira</t>
  </si>
  <si>
    <t>Perfil</t>
  </si>
  <si>
    <t>Agressivo</t>
  </si>
  <si>
    <t>Conservador</t>
  </si>
  <si>
    <t>VALOR A SER INVESTIDO MÊS</t>
  </si>
  <si>
    <t>TIPO DE FII</t>
  </si>
  <si>
    <t>PERCENTUAL SUGERIDO</t>
  </si>
  <si>
    <t>VALORES</t>
  </si>
  <si>
    <t>PAPEL</t>
  </si>
  <si>
    <t>TIJOLO</t>
  </si>
  <si>
    <t>HIBRIDOS</t>
  </si>
  <si>
    <t>DESENVOLVIMENTO</t>
  </si>
  <si>
    <t>HOTELARIAS</t>
  </si>
  <si>
    <t>PERFIL</t>
  </si>
  <si>
    <t>PERCENTUAL</t>
  </si>
  <si>
    <t>FOFs</t>
  </si>
  <si>
    <t>Moderado</t>
  </si>
  <si>
    <t>CHAVE</t>
  </si>
  <si>
    <t>Moderado-TIJOLO</t>
  </si>
  <si>
    <t>sugestão investimento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</si>
</sst>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&quot;\ #,##0.000;[Red]\-&quot;R$&quot;\ #,##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2" tint="-9.9948118533890809E-2"/>
      </bottom>
      <diagonal/>
    </border>
    <border>
      <left style="medium">
        <color theme="0"/>
      </left>
      <right style="medium">
        <color theme="0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0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theme="0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0"/>
      </left>
      <right style="medium">
        <color theme="0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indexed="64"/>
      </right>
      <top style="thin">
        <color indexed="64"/>
      </top>
      <bottom style="thin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thin">
        <color theme="9" tint="-0.499984740745262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indexed="64"/>
      </bottom>
      <diagonal/>
    </border>
    <border>
      <left style="thin">
        <color theme="9" tint="-0.499984740745262"/>
      </left>
      <right style="thin">
        <color indexed="64"/>
      </right>
      <top style="thin">
        <color theme="9" tint="-0.499984740745262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8" borderId="0" applyNumberFormat="0" applyBorder="0" applyAlignment="0" applyProtection="0"/>
    <xf numFmtId="0" fontId="3" fillId="9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6" fillId="3" borderId="2" xfId="1" applyFont="1" applyFill="1" applyBorder="1" applyAlignment="1">
      <alignment horizontal="center" vertical="center"/>
    </xf>
    <xf numFmtId="0" fontId="0" fillId="6" borderId="0" xfId="0" applyFill="1"/>
    <xf numFmtId="9" fontId="0" fillId="0" borderId="0" xfId="2" applyFont="1" applyAlignment="1">
      <alignment horizontal="center"/>
    </xf>
    <xf numFmtId="9" fontId="0" fillId="0" borderId="0" xfId="2" applyFont="1"/>
    <xf numFmtId="0" fontId="2" fillId="7" borderId="0" xfId="0" applyFont="1" applyFill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164" fontId="0" fillId="6" borderId="0" xfId="0" applyNumberFormat="1" applyFill="1"/>
    <xf numFmtId="0" fontId="8" fillId="5" borderId="16" xfId="0" applyFont="1" applyFill="1" applyBorder="1" applyAlignment="1">
      <alignment horizontal="left"/>
    </xf>
    <xf numFmtId="0" fontId="8" fillId="5" borderId="17" xfId="0" applyFont="1" applyFill="1" applyBorder="1" applyAlignment="1">
      <alignment horizontal="left"/>
    </xf>
    <xf numFmtId="0" fontId="8" fillId="5" borderId="18" xfId="0" applyFont="1" applyFill="1" applyBorder="1" applyAlignment="1">
      <alignment horizontal="left"/>
    </xf>
    <xf numFmtId="0" fontId="9" fillId="6" borderId="24" xfId="0" applyFont="1" applyFill="1" applyBorder="1"/>
    <xf numFmtId="0" fontId="9" fillId="6" borderId="4" xfId="0" applyFont="1" applyFill="1" applyBorder="1"/>
    <xf numFmtId="0" fontId="10" fillId="6" borderId="4" xfId="0" applyFont="1" applyFill="1" applyBorder="1"/>
    <xf numFmtId="0" fontId="10" fillId="2" borderId="5" xfId="0" applyFont="1" applyFill="1" applyBorder="1"/>
    <xf numFmtId="0" fontId="8" fillId="2" borderId="8" xfId="0" applyFont="1" applyFill="1" applyBorder="1" applyAlignment="1">
      <alignment horizontal="left"/>
    </xf>
    <xf numFmtId="164" fontId="9" fillId="2" borderId="6" xfId="0" applyNumberFormat="1" applyFont="1" applyFill="1" applyBorder="1"/>
    <xf numFmtId="164" fontId="8" fillId="2" borderId="9" xfId="1" applyNumberFormat="1" applyFont="1" applyFill="1" applyBorder="1" applyAlignment="1">
      <alignment horizontal="right"/>
    </xf>
    <xf numFmtId="0" fontId="8" fillId="2" borderId="10" xfId="0" applyFont="1" applyFill="1" applyBorder="1" applyAlignment="1">
      <alignment horizontal="left"/>
    </xf>
    <xf numFmtId="164" fontId="9" fillId="2" borderId="7" xfId="0" applyNumberFormat="1" applyFont="1" applyFill="1" applyBorder="1"/>
    <xf numFmtId="164" fontId="8" fillId="2" borderId="11" xfId="1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horizontal="left"/>
    </xf>
    <xf numFmtId="164" fontId="9" fillId="2" borderId="13" xfId="0" applyNumberFormat="1" applyFont="1" applyFill="1" applyBorder="1"/>
    <xf numFmtId="164" fontId="8" fillId="2" borderId="14" xfId="1" applyNumberFormat="1" applyFont="1" applyFill="1" applyBorder="1" applyAlignment="1">
      <alignment horizontal="right"/>
    </xf>
    <xf numFmtId="0" fontId="10" fillId="10" borderId="32" xfId="3" applyFont="1" applyFill="1" applyBorder="1" applyAlignment="1">
      <alignment horizontal="left"/>
    </xf>
    <xf numFmtId="0" fontId="10" fillId="6" borderId="35" xfId="0" applyFont="1" applyFill="1" applyBorder="1"/>
    <xf numFmtId="0" fontId="11" fillId="9" borderId="0" xfId="4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2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10" fillId="0" borderId="36" xfId="0" applyNumberFormat="1" applyFont="1" applyBorder="1" applyAlignment="1">
      <alignment horizontal="center"/>
    </xf>
    <xf numFmtId="164" fontId="10" fillId="0" borderId="37" xfId="0" applyNumberFormat="1" applyFont="1" applyBorder="1" applyAlignment="1">
      <alignment horizontal="center"/>
    </xf>
    <xf numFmtId="0" fontId="10" fillId="10" borderId="33" xfId="3" applyFont="1" applyFill="1" applyBorder="1" applyAlignment="1">
      <alignment horizontal="center"/>
    </xf>
    <xf numFmtId="0" fontId="10" fillId="10" borderId="34" xfId="3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8" fillId="5" borderId="15" xfId="1" applyNumberFormat="1" applyFont="1" applyFill="1" applyBorder="1" applyAlignment="1">
      <alignment horizontal="center"/>
    </xf>
    <xf numFmtId="164" fontId="8" fillId="5" borderId="20" xfId="1" applyNumberFormat="1" applyFont="1" applyFill="1" applyBorder="1" applyAlignment="1">
      <alignment horizontal="center"/>
    </xf>
    <xf numFmtId="10" fontId="8" fillId="5" borderId="19" xfId="2" applyNumberFormat="1" applyFont="1" applyFill="1" applyBorder="1" applyAlignment="1">
      <alignment horizontal="center"/>
    </xf>
    <xf numFmtId="10" fontId="8" fillId="5" borderId="21" xfId="2" applyNumberFormat="1" applyFont="1" applyFill="1" applyBorder="1" applyAlignment="1">
      <alignment horizontal="center"/>
    </xf>
    <xf numFmtId="164" fontId="8" fillId="5" borderId="22" xfId="1" applyNumberFormat="1" applyFont="1" applyFill="1" applyBorder="1" applyAlignment="1">
      <alignment horizontal="center"/>
    </xf>
    <xf numFmtId="164" fontId="8" fillId="5" borderId="23" xfId="1" applyNumberFormat="1" applyFont="1" applyFill="1" applyBorder="1" applyAlignment="1">
      <alignment horizontal="center"/>
    </xf>
    <xf numFmtId="164" fontId="10" fillId="0" borderId="25" xfId="0" applyNumberFormat="1" applyFont="1" applyBorder="1" applyAlignment="1">
      <alignment horizontal="center"/>
    </xf>
    <xf numFmtId="164" fontId="10" fillId="0" borderId="27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0" fillId="0" borderId="2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10" fontId="10" fillId="0" borderId="26" xfId="2" applyNumberFormat="1" applyFont="1" applyBorder="1" applyAlignment="1">
      <alignment horizontal="center"/>
    </xf>
    <xf numFmtId="10" fontId="10" fillId="0" borderId="28" xfId="2" applyNumberFormat="1" applyFont="1" applyBorder="1" applyAlignment="1">
      <alignment horizontal="center"/>
    </xf>
    <xf numFmtId="8" fontId="10" fillId="0" borderId="26" xfId="0" applyNumberFormat="1" applyFont="1" applyBorder="1" applyAlignment="1">
      <alignment horizontal="center"/>
    </xf>
    <xf numFmtId="8" fontId="10" fillId="0" borderId="28" xfId="0" applyNumberFormat="1" applyFont="1" applyBorder="1" applyAlignment="1">
      <alignment horizontal="center"/>
    </xf>
    <xf numFmtId="165" fontId="10" fillId="0" borderId="29" xfId="0" applyNumberFormat="1" applyFont="1" applyBorder="1" applyAlignment="1">
      <alignment horizontal="center"/>
    </xf>
    <xf numFmtId="165" fontId="10" fillId="0" borderId="30" xfId="0" applyNumberFormat="1" applyFont="1" applyBorder="1" applyAlignment="1">
      <alignment horizontal="center"/>
    </xf>
  </cellXfs>
  <cellStyles count="5">
    <cellStyle name="Bom" xfId="3" builtinId="26"/>
    <cellStyle name="Ênfase3" xfId="4" builtinId="37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  <color rgb="FFFFFF99"/>
      <color rgb="FFEFE12D"/>
      <color rgb="FFFFCC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clusteredColumn" uniqueId="{4E967FEF-706D-40F1-8F6F-394C1E7BABA3}">
          <cx:dataId val="0"/>
          <cx:layoutPr>
            <cx:aggregation/>
          </cx:layoutPr>
          <cx:axisId val="1"/>
        </cx:series>
        <cx:series layoutId="paretoLine" ownerIdx="0" uniqueId="{09F7E482-6CAC-4506-8A33-780FD09F125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versasentrealmofadas.blogspot.com/2012/08/contar-os-troquinhos.html" TargetMode="External"/><Relationship Id="rId2" Type="http://schemas.openxmlformats.org/officeDocument/2006/relationships/image" Target="../media/image1.jpeg"/><Relationship Id="rId1" Type="http://schemas.microsoft.com/office/2014/relationships/chartEx" Target="../charts/chartEx1.xml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1</xdr:row>
      <xdr:rowOff>106680</xdr:rowOff>
    </xdr:from>
    <xdr:to>
      <xdr:col>16378</xdr:col>
      <xdr:colOff>693420</xdr:colOff>
      <xdr:row>6</xdr:row>
      <xdr:rowOff>190500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D6FA426-7195-A558-4132-E3460996CAC1}"/>
            </a:ext>
          </a:extLst>
        </xdr:cNvPr>
        <xdr:cNvSpPr txBox="1"/>
      </xdr:nvSpPr>
      <xdr:spPr>
        <a:xfrm>
          <a:off x="228600" y="198120"/>
          <a:ext cx="6705600" cy="1363980"/>
        </a:xfrm>
        <a:prstGeom prst="rect">
          <a:avLst/>
        </a:prstGeom>
        <a:solidFill>
          <a:schemeClr val="accent1">
            <a:lumMod val="75000"/>
          </a:schemeClr>
        </a:solidFill>
        <a:ln w="2857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algn="l"/>
          <a:r>
            <a:rPr lang="pt-BR" sz="4000" b="1" cap="none" spc="0">
              <a:ln w="10160">
                <a:solidFill>
                  <a:schemeClr val="bg2"/>
                </a:solidFill>
                <a:prstDash val="solid"/>
              </a:ln>
              <a:solidFill>
                <a:srgbClr val="FFFFFF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       </a:t>
          </a:r>
          <a:r>
            <a:rPr lang="pt-BR" sz="4800" b="1" cap="none" spc="0">
              <a:ln w="10160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Invest Smart </a:t>
          </a:r>
          <a:r>
            <a:rPr lang="pt-BR" sz="4800" b="1" cap="none" spc="0">
              <a:ln w="10160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  <a:ea typeface="+mn-ea"/>
              <a:cs typeface="+mn-cs"/>
            </a:rPr>
            <a:t>DIO</a:t>
          </a:r>
          <a:r>
            <a:rPr lang="pt-BR" sz="4800" b="1" cap="none" spc="0">
              <a:ln w="10160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Bahnschrift" panose="020B0502040204020203" pitchFamily="34" charset="0"/>
            </a:rPr>
            <a:t> </a:t>
          </a:r>
          <a:endParaRPr lang="pt-BR" sz="4000" b="1" cap="none" spc="0">
            <a:ln w="10160">
              <a:solidFill>
                <a:schemeClr val="accent6">
                  <a:lumMod val="60000"/>
                  <a:lumOff val="40000"/>
                </a:schemeClr>
              </a:solidFill>
              <a:prstDash val="solid"/>
            </a:ln>
            <a:solidFill>
              <a:schemeClr val="bg1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148590</xdr:colOff>
      <xdr:row>38</xdr:row>
      <xdr:rowOff>80010</xdr:rowOff>
    </xdr:from>
    <xdr:to>
      <xdr:col>5</xdr:col>
      <xdr:colOff>22860</xdr:colOff>
      <xdr:row>53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83E1047-F035-4D59-8DDE-27A0DE4E5F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070" y="8279130"/>
              <a:ext cx="601599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365760</xdr:colOff>
      <xdr:row>43</xdr:row>
      <xdr:rowOff>108503</xdr:rowOff>
    </xdr:from>
    <xdr:to>
      <xdr:col>16378</xdr:col>
      <xdr:colOff>548640</xdr:colOff>
      <xdr:row>48</xdr:row>
      <xdr:rowOff>120014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666B766-25FF-578B-93FE-C5B625AD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836920" y="8932463"/>
          <a:ext cx="952500" cy="925911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2</xdr:row>
      <xdr:rowOff>144780</xdr:rowOff>
    </xdr:from>
    <xdr:to>
      <xdr:col>2</xdr:col>
      <xdr:colOff>975360</xdr:colOff>
      <xdr:row>5</xdr:row>
      <xdr:rowOff>510540</xdr:rowOff>
    </xdr:to>
    <xdr:pic>
      <xdr:nvPicPr>
        <xdr:cNvPr id="18" name="Gráfico 17" descr="Cofrinho com preenchimento sólido">
          <a:extLst>
            <a:ext uri="{FF2B5EF4-FFF2-40B4-BE49-F238E27FC236}">
              <a16:creationId xmlns:a16="http://schemas.microsoft.com/office/drawing/2014/main" id="{BBC1CCCF-05E2-CA06-26C2-ABFB25419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20040" y="4191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A5D9-FA9D-4F81-B48F-286D5E454BBB}">
  <dimension ref="B1:XFC38"/>
  <sheetViews>
    <sheetView showGridLines="0" showRowColHeaders="0" tabSelected="1" zoomScaleNormal="100" workbookViewId="0">
      <selection activeCell="D28" sqref="D28:E28"/>
    </sheetView>
  </sheetViews>
  <sheetFormatPr defaultColWidth="0" defaultRowHeight="14.4" x14ac:dyDescent="0.3"/>
  <cols>
    <col min="1" max="1" width="0.44140625" customWidth="1"/>
    <col min="2" max="2" width="3.33203125" customWidth="1"/>
    <col min="3" max="3" width="29.109375" customWidth="1"/>
    <col min="4" max="4" width="32.44140625" customWidth="1"/>
    <col min="5" max="5" width="24.6640625" customWidth="1"/>
    <col min="6" max="6" width="11.21875" customWidth="1"/>
    <col min="7" max="7" width="12.33203125" hidden="1" customWidth="1"/>
    <col min="8" max="8" width="1.109375" hidden="1" customWidth="1"/>
    <col min="9" max="13" width="6.109375" hidden="1" customWidth="1"/>
    <col min="14" max="14" width="8.88671875" hidden="1" customWidth="1"/>
    <col min="15" max="15" width="1.77734375" hidden="1" customWidth="1"/>
    <col min="16" max="17" width="8.88671875" hidden="1"/>
    <col min="16379" max="16379" width="10.5546875" customWidth="1"/>
    <col min="16380" max="16380" width="10.5546875" hidden="1" customWidth="1"/>
    <col min="16381" max="16381" width="9" hidden="1" customWidth="1"/>
    <col min="16382" max="16382" width="9.6640625" hidden="1" customWidth="1"/>
    <col min="16383" max="16383" width="7.33203125" hidden="1" customWidth="1"/>
    <col min="16384" max="16384" width="3" customWidth="1"/>
  </cols>
  <sheetData>
    <row r="1" spans="3:5" ht="7.2" customHeight="1" x14ac:dyDescent="0.3"/>
    <row r="6" spans="3:5" ht="43.2" customHeight="1" x14ac:dyDescent="0.3"/>
    <row r="7" spans="3:5" ht="36" customHeight="1" thickBot="1" x14ac:dyDescent="0.35"/>
    <row r="8" spans="3:5" ht="20.399999999999999" customHeight="1" x14ac:dyDescent="0.3">
      <c r="C8" s="37" t="s">
        <v>13</v>
      </c>
      <c r="D8" s="38"/>
      <c r="E8" s="39"/>
    </row>
    <row r="9" spans="3:5" ht="15.6" customHeight="1" thickBot="1" x14ac:dyDescent="0.35">
      <c r="C9" s="11" t="s">
        <v>14</v>
      </c>
      <c r="D9" s="40">
        <v>10000</v>
      </c>
      <c r="E9" s="41"/>
    </row>
    <row r="10" spans="3:5" ht="15" customHeight="1" thickBot="1" x14ac:dyDescent="0.35">
      <c r="C10" s="12" t="s">
        <v>15</v>
      </c>
      <c r="D10" s="42">
        <v>9.1000000000000004E-3</v>
      </c>
      <c r="E10" s="43"/>
    </row>
    <row r="11" spans="3:5" ht="15.6" customHeight="1" thickBot="1" x14ac:dyDescent="0.35">
      <c r="C11" s="13" t="s">
        <v>34</v>
      </c>
      <c r="D11" s="44">
        <f>D9*30%</f>
        <v>3000</v>
      </c>
      <c r="E11" s="45"/>
    </row>
    <row r="12" spans="3:5" ht="15" customHeight="1" thickBot="1" x14ac:dyDescent="0.35"/>
    <row r="13" spans="3:5" ht="24" thickBot="1" x14ac:dyDescent="0.35">
      <c r="C13" s="48" t="s">
        <v>5</v>
      </c>
      <c r="D13" s="49"/>
      <c r="E13" s="50"/>
    </row>
    <row r="14" spans="3:5" ht="16.2" thickBot="1" x14ac:dyDescent="0.35">
      <c r="C14" s="14" t="s">
        <v>0</v>
      </c>
      <c r="D14" s="46">
        <v>3000</v>
      </c>
      <c r="E14" s="47"/>
    </row>
    <row r="15" spans="3:5" ht="16.2" thickBot="1" x14ac:dyDescent="0.35">
      <c r="C15" s="15" t="s">
        <v>1</v>
      </c>
      <c r="D15" s="53">
        <v>5</v>
      </c>
      <c r="E15" s="54"/>
    </row>
    <row r="16" spans="3:5" ht="16.2" thickBot="1" x14ac:dyDescent="0.35">
      <c r="C16" s="15" t="s">
        <v>2</v>
      </c>
      <c r="D16" s="55">
        <v>8.8999999999999999E-3</v>
      </c>
      <c r="E16" s="56"/>
    </row>
    <row r="17" spans="2:5" ht="16.2" thickBot="1" x14ac:dyDescent="0.35">
      <c r="C17" s="16" t="s">
        <v>3</v>
      </c>
      <c r="D17" s="57">
        <f>FV(taxa_mês,qtd_anos*12,Aport*-1)</f>
        <v>236533.79990532543</v>
      </c>
      <c r="E17" s="58"/>
    </row>
    <row r="18" spans="2:5" ht="16.2" thickBot="1" x14ac:dyDescent="0.35">
      <c r="C18" s="17" t="s">
        <v>4</v>
      </c>
      <c r="D18" s="59">
        <f>patrimonio*rendi_carteira</f>
        <v>2152.4575791384614</v>
      </c>
      <c r="E18" s="60"/>
    </row>
    <row r="19" spans="2:5" ht="15" thickBot="1" x14ac:dyDescent="0.35"/>
    <row r="20" spans="2:5" ht="23.4" x14ac:dyDescent="0.3">
      <c r="C20" s="51" t="s">
        <v>6</v>
      </c>
      <c r="D20" s="52"/>
      <c r="E20" s="3" t="s">
        <v>12</v>
      </c>
    </row>
    <row r="21" spans="2:5" ht="15.6" x14ac:dyDescent="0.3">
      <c r="B21" s="2">
        <v>2</v>
      </c>
      <c r="C21" s="18" t="s">
        <v>7</v>
      </c>
      <c r="D21" s="19">
        <f>FV($D$16,$B21*12,$D$14*-1)</f>
        <v>79873.459234343813</v>
      </c>
      <c r="E21" s="20">
        <f>D21*rendi_carteira</f>
        <v>726.84847903252876</v>
      </c>
    </row>
    <row r="22" spans="2:5" ht="15.6" x14ac:dyDescent="0.3">
      <c r="B22" s="2">
        <v>5</v>
      </c>
      <c r="C22" s="21" t="s">
        <v>8</v>
      </c>
      <c r="D22" s="22">
        <f>FV($D$16,$B22*12,$D$14*-1)</f>
        <v>236533.79990532543</v>
      </c>
      <c r="E22" s="23">
        <f>D22*rendi_carteira</f>
        <v>2152.4575791384614</v>
      </c>
    </row>
    <row r="23" spans="2:5" ht="15.6" x14ac:dyDescent="0.3">
      <c r="B23" s="2">
        <v>10</v>
      </c>
      <c r="C23" s="21" t="s">
        <v>9</v>
      </c>
      <c r="D23" s="22">
        <f>FV($D$16,$B23*12,$D$14*-1)</f>
        <v>639047.37402035354</v>
      </c>
      <c r="E23" s="23">
        <f>D23*rendi_carteira</f>
        <v>5815.3311035852175</v>
      </c>
    </row>
    <row r="24" spans="2:5" ht="15.6" x14ac:dyDescent="0.3">
      <c r="B24" s="2">
        <v>20</v>
      </c>
      <c r="C24" s="21" t="s">
        <v>10</v>
      </c>
      <c r="D24" s="22">
        <f>FV($D$16,$B24*12,$D$14*-1)</f>
        <v>2489626.6685595592</v>
      </c>
      <c r="E24" s="23">
        <f>D24*rendi_carteira</f>
        <v>22655.60268389199</v>
      </c>
    </row>
    <row r="25" spans="2:5" ht="16.2" thickBot="1" x14ac:dyDescent="0.35">
      <c r="B25" s="2">
        <v>30</v>
      </c>
      <c r="C25" s="24" t="s">
        <v>11</v>
      </c>
      <c r="D25" s="25">
        <f>FV($D$16,$B25*12,$D$14*-1)</f>
        <v>7848609.2175875241</v>
      </c>
      <c r="E25" s="26">
        <f>D25*rendi_carteira</f>
        <v>71422.343880046479</v>
      </c>
    </row>
    <row r="28" spans="2:5" ht="15.6" x14ac:dyDescent="0.3">
      <c r="C28" s="27" t="s">
        <v>16</v>
      </c>
      <c r="D28" s="35" t="s">
        <v>31</v>
      </c>
      <c r="E28" s="36"/>
    </row>
    <row r="29" spans="2:5" ht="15.6" x14ac:dyDescent="0.3">
      <c r="C29" s="28" t="s">
        <v>19</v>
      </c>
      <c r="D29" s="33">
        <f>Aport</f>
        <v>3000</v>
      </c>
      <c r="E29" s="34"/>
    </row>
    <row r="31" spans="2:5" ht="15.6" x14ac:dyDescent="0.3">
      <c r="C31" s="29" t="s">
        <v>20</v>
      </c>
      <c r="D31" s="29" t="s">
        <v>21</v>
      </c>
      <c r="E31" s="29" t="s">
        <v>22</v>
      </c>
    </row>
    <row r="32" spans="2:5" ht="15.6" x14ac:dyDescent="0.3">
      <c r="C32" s="30" t="s">
        <v>23</v>
      </c>
      <c r="D32" s="31">
        <f>VLOOKUP($D$28&amp;"-"&amp;C32,Planilha2!$A:$D,4,FALSE)</f>
        <v>0.32</v>
      </c>
      <c r="E32" s="32">
        <f>D32*$D$29</f>
        <v>960</v>
      </c>
    </row>
    <row r="33" spans="3:5" ht="15.6" x14ac:dyDescent="0.3">
      <c r="C33" s="30" t="s">
        <v>24</v>
      </c>
      <c r="D33" s="31">
        <f>VLOOKUP($D$28&amp;"-"&amp;C33,Planilha2!$A:$D,4,FALSE)</f>
        <v>0.35</v>
      </c>
      <c r="E33" s="32">
        <f>D33*$D$29</f>
        <v>1050</v>
      </c>
    </row>
    <row r="34" spans="3:5" ht="15.6" x14ac:dyDescent="0.3">
      <c r="C34" s="30" t="s">
        <v>30</v>
      </c>
      <c r="D34" s="31">
        <f>VLOOKUP($D$28&amp;"-"&amp;C34,Planilha2!$A:$D,4,FALSE)</f>
        <v>0.05</v>
      </c>
      <c r="E34" s="32">
        <f t="shared" ref="E34:E37" si="0">D34*$D$29</f>
        <v>150</v>
      </c>
    </row>
    <row r="35" spans="3:5" ht="15.6" x14ac:dyDescent="0.3">
      <c r="C35" s="30" t="s">
        <v>25</v>
      </c>
      <c r="D35" s="31">
        <f>VLOOKUP($D$28&amp;"-"&amp;C35,Planilha2!$A:$D,4,FALSE)</f>
        <v>0.08</v>
      </c>
      <c r="E35" s="32">
        <f t="shared" si="0"/>
        <v>240</v>
      </c>
    </row>
    <row r="36" spans="3:5" ht="15.6" x14ac:dyDescent="0.3">
      <c r="C36" s="30" t="s">
        <v>26</v>
      </c>
      <c r="D36" s="31">
        <f>VLOOKUP($D$28&amp;"-"&amp;C36,Planilha2!$A:$D,4,FALSE)</f>
        <v>0.1</v>
      </c>
      <c r="E36" s="32">
        <f t="shared" si="0"/>
        <v>300</v>
      </c>
    </row>
    <row r="37" spans="3:5" ht="15.6" x14ac:dyDescent="0.3">
      <c r="C37" s="30" t="s">
        <v>27</v>
      </c>
      <c r="D37" s="31">
        <f>VLOOKUP($D$28&amp;"-"&amp;C37,Planilha2!$A:$D,4,FALSE)</f>
        <v>0.1</v>
      </c>
      <c r="E37" s="32">
        <f t="shared" si="0"/>
        <v>300</v>
      </c>
    </row>
    <row r="38" spans="3:5" x14ac:dyDescent="0.3">
      <c r="C38" s="4"/>
      <c r="D38" s="4"/>
      <c r="E38" s="10">
        <f>SUM(E32:E37)</f>
        <v>3000</v>
      </c>
    </row>
  </sheetData>
  <mergeCells count="13">
    <mergeCell ref="D29:E29"/>
    <mergeCell ref="D28:E28"/>
    <mergeCell ref="C8:E8"/>
    <mergeCell ref="D9:E9"/>
    <mergeCell ref="D10:E10"/>
    <mergeCell ref="D11:E11"/>
    <mergeCell ref="D14:E14"/>
    <mergeCell ref="C13:E13"/>
    <mergeCell ref="C20:D20"/>
    <mergeCell ref="D15:E15"/>
    <mergeCell ref="D16:E16"/>
    <mergeCell ref="D17:E17"/>
    <mergeCell ref="D18:E18"/>
  </mergeCells>
  <dataValidations count="1">
    <dataValidation type="list" allowBlank="1" showInputMessage="1" showErrorMessage="1" sqref="D28" xr:uid="{90862B23-880A-4280-9B2B-0AF22B4C78D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A82A-E1CF-4096-9450-7999563786D2}">
  <dimension ref="A4:G24"/>
  <sheetViews>
    <sheetView workbookViewId="0">
      <selection activeCell="G6" sqref="G6"/>
    </sheetView>
  </sheetViews>
  <sheetFormatPr defaultRowHeight="14.4" x14ac:dyDescent="0.3"/>
  <cols>
    <col min="1" max="1" width="30.21875" customWidth="1"/>
    <col min="2" max="2" width="17.6640625" bestFit="1" customWidth="1"/>
    <col min="3" max="3" width="11.21875" style="1" bestFit="1" customWidth="1"/>
    <col min="4" max="4" width="11.88671875" bestFit="1" customWidth="1"/>
    <col min="6" max="6" width="15.44140625" bestFit="1" customWidth="1"/>
  </cols>
  <sheetData>
    <row r="4" spans="1:7" x14ac:dyDescent="0.3">
      <c r="A4" s="7" t="s">
        <v>32</v>
      </c>
      <c r="B4" s="7" t="s">
        <v>20</v>
      </c>
      <c r="C4" s="7" t="s">
        <v>28</v>
      </c>
      <c r="D4" s="7" t="s">
        <v>29</v>
      </c>
    </row>
    <row r="5" spans="1:7" x14ac:dyDescent="0.3">
      <c r="A5" t="str">
        <f>$C$5&amp;"-"&amp;B5</f>
        <v>Conservador-PAPEL</v>
      </c>
      <c r="B5" s="1" t="s">
        <v>23</v>
      </c>
      <c r="C5" s="1" t="s">
        <v>18</v>
      </c>
      <c r="D5" s="5">
        <v>0.3</v>
      </c>
    </row>
    <row r="6" spans="1:7" x14ac:dyDescent="0.3">
      <c r="A6" t="str">
        <f>$C$5&amp;"-"&amp;B6</f>
        <v>Conservador-TIJOLO</v>
      </c>
      <c r="B6" s="1" t="s">
        <v>24</v>
      </c>
      <c r="C6" s="1" t="s">
        <v>18</v>
      </c>
      <c r="D6" s="5">
        <v>0.5</v>
      </c>
      <c r="F6" t="s">
        <v>33</v>
      </c>
      <c r="G6" s="6">
        <f>VLOOKUP(F6,$A:$D,4,FALSE)</f>
        <v>0.35</v>
      </c>
    </row>
    <row r="7" spans="1:7" x14ac:dyDescent="0.3">
      <c r="A7" t="str">
        <f t="shared" ref="A7:A10" si="0">$C$5&amp;"-"&amp;B7</f>
        <v>Conservador-FOFs</v>
      </c>
      <c r="B7" s="1" t="s">
        <v>30</v>
      </c>
      <c r="C7" s="1" t="s">
        <v>18</v>
      </c>
      <c r="D7" s="5">
        <v>0.1</v>
      </c>
    </row>
    <row r="8" spans="1:7" x14ac:dyDescent="0.3">
      <c r="A8" t="str">
        <f t="shared" si="0"/>
        <v>Conservador-HIBRIDOS</v>
      </c>
      <c r="B8" s="1" t="s">
        <v>25</v>
      </c>
      <c r="C8" s="1" t="s">
        <v>18</v>
      </c>
      <c r="D8" s="5">
        <v>0.1</v>
      </c>
    </row>
    <row r="9" spans="1:7" x14ac:dyDescent="0.3">
      <c r="A9" t="str">
        <f t="shared" si="0"/>
        <v>Conservador-DESENVOLVIMENTO</v>
      </c>
      <c r="B9" s="1" t="s">
        <v>26</v>
      </c>
      <c r="C9" s="1" t="s">
        <v>18</v>
      </c>
      <c r="D9" s="5">
        <v>0</v>
      </c>
    </row>
    <row r="10" spans="1:7" x14ac:dyDescent="0.3">
      <c r="A10" t="str">
        <f t="shared" si="0"/>
        <v>Conservador-HOTELARIAS</v>
      </c>
      <c r="B10" s="1" t="s">
        <v>27</v>
      </c>
      <c r="C10" s="1" t="s">
        <v>18</v>
      </c>
      <c r="D10" s="5">
        <v>0</v>
      </c>
    </row>
    <row r="11" spans="1:7" x14ac:dyDescent="0.3">
      <c r="A11" s="8"/>
      <c r="B11" s="8"/>
      <c r="C11" s="9"/>
      <c r="D11" s="8"/>
    </row>
    <row r="12" spans="1:7" x14ac:dyDescent="0.3">
      <c r="A12" t="str">
        <f>$C$12&amp;"-"&amp;B12</f>
        <v>Moderado-PAPEL</v>
      </c>
      <c r="B12" s="1" t="s">
        <v>23</v>
      </c>
      <c r="C12" s="1" t="s">
        <v>31</v>
      </c>
      <c r="D12" s="5">
        <v>0.32</v>
      </c>
    </row>
    <row r="13" spans="1:7" x14ac:dyDescent="0.3">
      <c r="A13" t="str">
        <f t="shared" ref="A13:A17" si="1">$C$12&amp;"-"&amp;B13</f>
        <v>Moderado-TIJOLO</v>
      </c>
      <c r="B13" s="1" t="s">
        <v>24</v>
      </c>
      <c r="C13" s="1" t="s">
        <v>31</v>
      </c>
      <c r="D13" s="5">
        <v>0.35</v>
      </c>
    </row>
    <row r="14" spans="1:7" x14ac:dyDescent="0.3">
      <c r="A14" t="str">
        <f t="shared" si="1"/>
        <v>Moderado-FOFs</v>
      </c>
      <c r="B14" s="1" t="s">
        <v>30</v>
      </c>
      <c r="C14" s="1" t="s">
        <v>31</v>
      </c>
      <c r="D14" s="5">
        <v>0.05</v>
      </c>
    </row>
    <row r="15" spans="1:7" x14ac:dyDescent="0.3">
      <c r="A15" t="str">
        <f t="shared" si="1"/>
        <v>Moderado-HIBRIDOS</v>
      </c>
      <c r="B15" s="1" t="s">
        <v>25</v>
      </c>
      <c r="C15" s="1" t="s">
        <v>31</v>
      </c>
      <c r="D15" s="5">
        <v>0.08</v>
      </c>
    </row>
    <row r="16" spans="1:7" x14ac:dyDescent="0.3">
      <c r="A16" t="str">
        <f t="shared" si="1"/>
        <v>Moderado-DESENVOLVIMENTO</v>
      </c>
      <c r="B16" s="1" t="s">
        <v>26</v>
      </c>
      <c r="C16" s="1" t="s">
        <v>31</v>
      </c>
      <c r="D16" s="5">
        <v>0.1</v>
      </c>
    </row>
    <row r="17" spans="1:4" x14ac:dyDescent="0.3">
      <c r="A17" t="str">
        <f t="shared" si="1"/>
        <v>Moderado-HOTELARIAS</v>
      </c>
      <c r="B17" s="1" t="s">
        <v>27</v>
      </c>
      <c r="C17" s="1" t="s">
        <v>31</v>
      </c>
      <c r="D17" s="5">
        <v>0.1</v>
      </c>
    </row>
    <row r="18" spans="1:4" x14ac:dyDescent="0.3">
      <c r="A18" s="8"/>
      <c r="B18" s="8"/>
      <c r="C18" s="9"/>
      <c r="D18" s="8"/>
    </row>
    <row r="19" spans="1:4" x14ac:dyDescent="0.3">
      <c r="A19" t="str">
        <f>$C$19&amp;"-"&amp;B19</f>
        <v>Agressivo-PAPEL</v>
      </c>
      <c r="B19" s="1" t="s">
        <v>23</v>
      </c>
      <c r="C19" s="1" t="s">
        <v>17</v>
      </c>
      <c r="D19" s="5">
        <v>0.5</v>
      </c>
    </row>
    <row r="20" spans="1:4" x14ac:dyDescent="0.3">
      <c r="A20" t="str">
        <f t="shared" ref="A20:A24" si="2">$C$19&amp;"-"&amp;B20</f>
        <v>Agressivo-TIJOLO</v>
      </c>
      <c r="B20" s="1" t="s">
        <v>24</v>
      </c>
      <c r="C20" s="1" t="s">
        <v>17</v>
      </c>
      <c r="D20" s="5">
        <v>0.1</v>
      </c>
    </row>
    <row r="21" spans="1:4" x14ac:dyDescent="0.3">
      <c r="A21" t="str">
        <f t="shared" si="2"/>
        <v>Agressivo-FOFs</v>
      </c>
      <c r="B21" s="1" t="s">
        <v>30</v>
      </c>
      <c r="C21" s="1" t="s">
        <v>17</v>
      </c>
      <c r="D21" s="5">
        <v>0.05</v>
      </c>
    </row>
    <row r="22" spans="1:4" x14ac:dyDescent="0.3">
      <c r="A22" t="str">
        <f t="shared" si="2"/>
        <v>Agressivo-HIBRIDOS</v>
      </c>
      <c r="B22" s="1" t="s">
        <v>25</v>
      </c>
      <c r="C22" s="1" t="s">
        <v>17</v>
      </c>
      <c r="D22" s="5">
        <v>0.05</v>
      </c>
    </row>
    <row r="23" spans="1:4" x14ac:dyDescent="0.3">
      <c r="A23" t="str">
        <f t="shared" si="2"/>
        <v>Agressivo-DESENVOLVIMENTO</v>
      </c>
      <c r="B23" s="1" t="s">
        <v>26</v>
      </c>
      <c r="C23" s="1" t="s">
        <v>17</v>
      </c>
      <c r="D23" s="5">
        <v>0.2</v>
      </c>
    </row>
    <row r="24" spans="1:4" x14ac:dyDescent="0.3">
      <c r="A24" t="str">
        <f t="shared" si="2"/>
        <v>Agressivo-HOTELARIAS</v>
      </c>
      <c r="B24" s="1" t="s">
        <v>27</v>
      </c>
      <c r="C24" s="1" t="s">
        <v>17</v>
      </c>
      <c r="D24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</vt:lpstr>
      <vt:lpstr>dividendos_mes</vt:lpstr>
      <vt:lpstr>patrimonio</vt:lpstr>
      <vt:lpstr>qtd_anos</vt:lpstr>
      <vt:lpstr>rendi_carteira</vt:lpstr>
      <vt:lpstr>salario</vt:lpstr>
      <vt:lpstr>seugestao_invest</vt:lpstr>
      <vt:lpstr>taxa_mês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</dc:creator>
  <cp:lastModifiedBy>Thami</cp:lastModifiedBy>
  <dcterms:created xsi:type="dcterms:W3CDTF">2026-02-08T19:47:39Z</dcterms:created>
  <dcterms:modified xsi:type="dcterms:W3CDTF">2026-02-10T18:54:00Z</dcterms:modified>
</cp:coreProperties>
</file>